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ELIX Tokenomic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<sst xmlns="http://schemas.openxmlformats.org/spreadsheetml/2006/main" count="26" uniqueCount="26">
  <si>
    <t xml:space="preserve">PHELIX — Tokenomics</t>
  </si>
  <si>
    <t xml:space="preserve">Token name</t>
  </si>
  <si>
    <t xml:space="preserve">PHELIX</t>
  </si>
  <si>
    <t xml:space="preserve">Network</t>
  </si>
  <si>
    <t xml:space="preserve">BNB Chain (BEP-20)</t>
  </si>
  <si>
    <t xml:space="preserve">Contract</t>
  </si>
  <si>
    <t xml:space="preserve">0x6edd700d450f20E8b7c837CaBbf70b6Bac6F6C43</t>
  </si>
  <si>
    <t xml:space="preserve">Total supply (input)</t>
  </si>
  <si>
    <t xml:space="preserve">Allocation</t>
  </si>
  <si>
    <t xml:space="preserve">% of Supply</t>
  </si>
  <si>
    <t xml:space="preserve">Tokens</t>
  </si>
  <si>
    <t xml:space="preserve">Notes</t>
  </si>
  <si>
    <t xml:space="preserve">Ecosystem Growth</t>
  </si>
  <si>
    <t xml:space="preserve">Grants, integrations, ecosystem programs</t>
  </si>
  <si>
    <t xml:space="preserve">Community Incentives</t>
  </si>
  <si>
    <t xml:space="preserve">Rewards, campaigns, engagement</t>
  </si>
  <si>
    <t xml:space="preserve">Treasury</t>
  </si>
  <si>
    <t xml:space="preserve">Audits, infrastructure, operations reserve</t>
  </si>
  <si>
    <t xml:space="preserve">Team &amp; Advisors</t>
  </si>
  <si>
    <t xml:space="preserve">Subject to vesting / lockup</t>
  </si>
  <si>
    <t xml:space="preserve">Strategic Partners</t>
  </si>
  <si>
    <t xml:space="preserve">Partnerships and integrations</t>
  </si>
  <si>
    <t xml:space="preserve">Liquidity Reserve</t>
  </si>
  <si>
    <t xml:space="preserve">DEX liquidity provisioning</t>
  </si>
  <si>
    <t xml:space="preserve">TOTAL</t>
  </si>
  <si>
    <t xml:space="preserve">Yellow cells are editable inputs. Token amounts update automatically from supply × %. Percentages should total 100%.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</si>
</sst>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1"/>
      <color rgb="FF1A1326"/>
      <name val="Arial"/>
      <family val="0"/>
      <charset val="1"/>
    </font>
    <font>
      <sz val="11"/>
      <color rgb="FF1A132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55505E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8A7F9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103A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1A1326"/>
        <bgColor rgb="FF000000"/>
      </patternFill>
    </fill>
    <fill>
      <patternFill patternType="solid">
        <fgColor rgb="FFFFF7CC"/>
        <bgColor rgb="FFF7F5FA"/>
      </patternFill>
    </fill>
    <fill>
      <patternFill patternType="solid">
        <fgColor rgb="FFF7F5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6103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7F9C"/>
      <rgbColor rgb="FF9999FF"/>
      <rgbColor rgb="FF993366"/>
      <rgbColor rgb="FFFFF7CC"/>
      <rgbColor rgb="FFF7F5FA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05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3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2"/>
  </cols>
  <sheetData>
    <row r="1" customFormat="false" ht="33.75" hidden="false" customHeight="tru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7" customFormat="false" ht="15" hidden="false" customHeight="false" outlineLevel="0" collapsed="false">
      <c r="A7" s="2" t="s">
        <v>7</v>
      </c>
      <c r="B7" s="4" t="n">
        <v>3000000000</v>
      </c>
    </row>
    <row r="9" customFormat="false" ht="19.5" hidden="false" customHeight="true" outlineLevel="0" collapsed="false">
      <c r="A9" s="5" t="s">
        <v>8</v>
      </c>
      <c r="B9" s="6" t="s">
        <v>9</v>
      </c>
      <c r="C9" s="6" t="s">
        <v>10</v>
      </c>
      <c r="D9" s="5" t="s">
        <v>11</v>
      </c>
    </row>
    <row r="10" customFormat="false" ht="15" hidden="false" customHeight="false" outlineLevel="0" collapsed="false">
      <c r="A10" s="7" t="s">
        <v>12</v>
      </c>
      <c r="B10" s="8" t="n">
        <v>0.35</v>
      </c>
      <c r="C10" s="9" t="n">
        <f aca="false">$B$7*B10</f>
        <v>1050000000</v>
      </c>
      <c r="D10" s="10" t="s">
        <v>13</v>
      </c>
    </row>
    <row r="11" customFormat="false" ht="15" hidden="false" customHeight="false" outlineLevel="0" collapsed="false">
      <c r="A11" s="11" t="s">
        <v>14</v>
      </c>
      <c r="B11" s="8" t="n">
        <v>0.2</v>
      </c>
      <c r="C11" s="12" t="n">
        <f aca="false">$B$7*B11</f>
        <v>600000000</v>
      </c>
      <c r="D11" s="13" t="s">
        <v>15</v>
      </c>
    </row>
    <row r="12" customFormat="false" ht="15" hidden="false" customHeight="false" outlineLevel="0" collapsed="false">
      <c r="A12" s="7" t="s">
        <v>16</v>
      </c>
      <c r="B12" s="8" t="n">
        <v>0.15</v>
      </c>
      <c r="C12" s="9" t="n">
        <f aca="false">$B$7*B12</f>
        <v>450000000</v>
      </c>
      <c r="D12" s="10" t="s">
        <v>17</v>
      </c>
    </row>
    <row r="13" customFormat="false" ht="15" hidden="false" customHeight="false" outlineLevel="0" collapsed="false">
      <c r="A13" s="11" t="s">
        <v>18</v>
      </c>
      <c r="B13" s="8" t="n">
        <v>0.15</v>
      </c>
      <c r="C13" s="12" t="n">
        <f aca="false">$B$7*B13</f>
        <v>450000000</v>
      </c>
      <c r="D13" s="13" t="s">
        <v>19</v>
      </c>
    </row>
    <row r="14" customFormat="false" ht="15" hidden="false" customHeight="false" outlineLevel="0" collapsed="false">
      <c r="A14" s="7" t="s">
        <v>20</v>
      </c>
      <c r="B14" s="8" t="n">
        <v>0.1</v>
      </c>
      <c r="C14" s="9" t="n">
        <f aca="false">$B$7*B14</f>
        <v>300000000</v>
      </c>
      <c r="D14" s="10" t="s">
        <v>21</v>
      </c>
    </row>
    <row r="15" customFormat="false" ht="15" hidden="false" customHeight="false" outlineLevel="0" collapsed="false">
      <c r="A15" s="11" t="s">
        <v>22</v>
      </c>
      <c r="B15" s="8" t="n">
        <v>0.05</v>
      </c>
      <c r="C15" s="12" t="n">
        <f aca="false">$B$7*B15</f>
        <v>150000000</v>
      </c>
      <c r="D15" s="13" t="s">
        <v>23</v>
      </c>
    </row>
    <row r="16" customFormat="false" ht="15" hidden="false" customHeight="false" outlineLevel="0" collapsed="false">
      <c r="A16" s="14" t="s">
        <v>24</v>
      </c>
      <c r="B16" s="15" t="n">
        <f aca="false">SUM(B10:B15)</f>
        <v>1</v>
      </c>
      <c r="C16" s="16" t="n">
        <f aca="false">SUM(C10:C15)</f>
        <v>3000000000</v>
      </c>
      <c r="D16" s="17"/>
    </row>
    <row r="18" customFormat="false" ht="15" hidden="false" customHeight="false" outlineLevel="0" collapsed="false">
      <c r="A18" s="18" t="s">
        <v>25</v>
      </c>
      <c r="B18" s="18"/>
      <c r="C18" s="18"/>
      <c r="D18" s="18"/>
    </row>
  </sheetData>
  <mergeCells count="2">
    <mergeCell ref="A1:D1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2026-06-24T01:30:24Z</dcterms:created>
  <dc:creator>openpyxl</dc:creator>
  <dc:description/>
  <dc:language>en-US</dc:language>
  <cp:lastModifiedBy/>
  <dcterms:modified xsi:type="dcterms:W3CDTF">2026-06-24T01:30:24Z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